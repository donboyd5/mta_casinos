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_projects\mta\mta_casinos\documents\"/>
    </mc:Choice>
  </mc:AlternateContent>
  <xr:revisionPtr revIDLastSave="0" documentId="13_ncr:1_{4B45E026-0504-400C-81A5-D536265A66F2}" xr6:coauthVersionLast="47" xr6:coauthVersionMax="47" xr10:uidLastSave="{00000000-0000-0000-0000-000000000000}"/>
  <bookViews>
    <workbookView xWindow="2282" yWindow="0" windowWidth="35701" windowHeight="18842" xr2:uid="{60F08B9F-99E0-43BF-9FF8-14BC6D9259EB}"/>
  </bookViews>
  <sheets>
    <sheet name="tax_calc" sheetId="7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7" l="1"/>
  <c r="G19" i="7"/>
  <c r="G18" i="7"/>
  <c r="G17" i="7"/>
  <c r="G16" i="7"/>
  <c r="G14" i="7"/>
  <c r="E10" i="7"/>
  <c r="G8" i="7"/>
  <c r="G7" i="7"/>
  <c r="G6" i="7"/>
  <c r="G5" i="7"/>
  <c r="G10" i="7" l="1"/>
</calcChain>
</file>

<file path=xl/sharedStrings.xml><?xml version="1.0" encoding="utf-8"?>
<sst xmlns="http://schemas.openxmlformats.org/spreadsheetml/2006/main" count="26" uniqueCount="22">
  <si>
    <t>row1</t>
  </si>
  <si>
    <t>row2</t>
  </si>
  <si>
    <t>header1</t>
  </si>
  <si>
    <t>col1</t>
  </si>
  <si>
    <t>col2</t>
  </si>
  <si>
    <t>col3</t>
  </si>
  <si>
    <t>text</t>
  </si>
  <si>
    <t>lots more text</t>
  </si>
  <si>
    <t>slots</t>
  </si>
  <si>
    <t>table</t>
  </si>
  <si>
    <t>sports</t>
  </si>
  <si>
    <t>ggr</t>
  </si>
  <si>
    <t>poker</t>
  </si>
  <si>
    <t>tax</t>
  </si>
  <si>
    <t>ucf</t>
  </si>
  <si>
    <t>ppa</t>
  </si>
  <si>
    <t>Educ/Prop tax relief</t>
  </si>
  <si>
    <t>sum</t>
  </si>
  <si>
    <t>Host muni</t>
  </si>
  <si>
    <t>Host county</t>
  </si>
  <si>
    <t>Rest of region per capita</t>
  </si>
  <si>
    <t>checksum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</si>
</sst>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0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2" applyNumberFormat="1" applyFont="1"/>
    <xf numFmtId="165" fontId="0" fillId="0" borderId="0" xfId="1" applyNumberFormat="1" applyFont="1"/>
    <xf numFmtId="166" fontId="0" fillId="0" borderId="0" xfId="2" applyNumberFormat="1" applyFont="1"/>
    <xf numFmtId="43" fontId="0" fillId="0" borderId="0" xfId="0" applyNumberFormat="1"/>
    <xf numFmtId="3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17253</xdr:colOff>
      <xdr:row>1</xdr:row>
      <xdr:rowOff>17253</xdr:rowOff>
    </xdr:from>
    <xdr:to>
      <xdr:col>29</xdr:col>
      <xdr:colOff>431321</xdr:colOff>
      <xdr:row>47</xdr:row>
      <xdr:rowOff>56783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BFADC1-726C-82B7-0C69-8181494A8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85472" y="198408"/>
          <a:ext cx="12215004" cy="83726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7</xdr:col>
      <xdr:colOff>422694</xdr:colOff>
      <xdr:row>26</xdr:row>
      <xdr:rowOff>163902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BBD52BEF-0D87-918F-EE29-8E2362131D01}"/>
            </a:ext>
          </a:extLst>
        </xdr:cNvPr>
        <xdr:cNvSpPr>
          <a:spLocks noChangeAspect="1" noChangeArrowheads="1"/>
        </xdr:cNvSpPr>
      </xdr:nvSpPr>
      <xdr:spPr bwMode="auto">
        <a:xfrm>
          <a:off x="621102" y="724619"/>
          <a:ext cx="4149306" cy="4149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7</xdr:col>
      <xdr:colOff>276045</xdr:colOff>
      <xdr:row>26</xdr:row>
      <xdr:rowOff>17253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2004984B-DADD-4DF8-FF82-A6546EEC94CB}"/>
            </a:ext>
          </a:extLst>
        </xdr:cNvPr>
        <xdr:cNvSpPr>
          <a:spLocks noChangeAspect="1" noChangeArrowheads="1"/>
        </xdr:cNvSpPr>
      </xdr:nvSpPr>
      <xdr:spPr bwMode="auto">
        <a:xfrm>
          <a:off x="621102" y="724619"/>
          <a:ext cx="4002656" cy="4002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8</xdr:col>
      <xdr:colOff>509430</xdr:colOff>
      <xdr:row>55</xdr:row>
      <xdr:rowOff>18253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C9CDAF-FFE8-5E2A-CB0F-A24A10049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102" y="724619"/>
          <a:ext cx="4857143" cy="9257143"/>
        </a:xfrm>
        <a:prstGeom prst="rect">
          <a:avLst/>
        </a:prstGeom>
      </xdr:spPr>
    </xdr:pic>
    <xdr:clientData/>
  </xdr:twoCellAnchor>
  <xdr:twoCellAnchor editAs="oneCell">
    <xdr:from>
      <xdr:col>8</xdr:col>
      <xdr:colOff>552091</xdr:colOff>
      <xdr:row>3</xdr:row>
      <xdr:rowOff>163902</xdr:rowOff>
    </xdr:from>
    <xdr:to>
      <xdr:col>16</xdr:col>
      <xdr:colOff>488038</xdr:colOff>
      <xdr:row>48</xdr:row>
      <xdr:rowOff>173845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D05B14-1BD0-FEF3-CC6D-66F99262E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0906" y="707366"/>
          <a:ext cx="4904762" cy="81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0D67D-A79B-4048-A2E8-8AECC622CE43}">
  <dimension ref="D3:G21"/>
  <sheetViews>
    <sheetView tabSelected="1" topLeftCell="A7" workbookViewId="0">
      <selection activeCell="F36" sqref="F36"/>
    </sheetView>
  </sheetViews>
  <sheetFormatPr defaultRowHeight="14.3" x14ac:dyDescent="0.25"/>
  <cols>
    <col min="5" max="5" width="12.5" customWidth="1"/>
    <col min="7" max="7" width="13.75" style="2" bestFit="1" customWidth="1"/>
  </cols>
  <sheetData>
    <row r="3" spans="4:7" x14ac:dyDescent="0.25">
      <c r="E3" t="s">
        <v>11</v>
      </c>
      <c r="G3" s="2" t="s">
        <v>13</v>
      </c>
    </row>
    <row r="4" spans="4:7" x14ac:dyDescent="0.25">
      <c r="E4" s="5"/>
    </row>
    <row r="5" spans="4:7" x14ac:dyDescent="0.25">
      <c r="D5" t="s">
        <v>8</v>
      </c>
      <c r="E5" s="5">
        <v>60149451</v>
      </c>
      <c r="F5" s="1">
        <v>0.3</v>
      </c>
      <c r="G5" s="2">
        <f>+E5*F5</f>
        <v>18044835.300000001</v>
      </c>
    </row>
    <row r="6" spans="4:7" x14ac:dyDescent="0.25">
      <c r="D6" t="s">
        <v>9</v>
      </c>
      <c r="E6" s="5">
        <v>50409686</v>
      </c>
      <c r="F6" s="1">
        <v>0.1</v>
      </c>
      <c r="G6" s="2">
        <f t="shared" ref="G6:G8" si="0">+E6*F6</f>
        <v>5040968.6000000006</v>
      </c>
    </row>
    <row r="7" spans="4:7" x14ac:dyDescent="0.25">
      <c r="D7" t="s">
        <v>12</v>
      </c>
      <c r="E7" s="5">
        <v>2335693</v>
      </c>
      <c r="F7" s="1">
        <v>0.1</v>
      </c>
      <c r="G7" s="2">
        <f t="shared" si="0"/>
        <v>233569.30000000002</v>
      </c>
    </row>
    <row r="8" spans="4:7" x14ac:dyDescent="0.25">
      <c r="D8" t="s">
        <v>10</v>
      </c>
      <c r="E8" s="5">
        <v>-39935</v>
      </c>
      <c r="F8" s="1">
        <v>0.1</v>
      </c>
      <c r="G8" s="2">
        <f t="shared" si="0"/>
        <v>-3993.5</v>
      </c>
    </row>
    <row r="9" spans="4:7" x14ac:dyDescent="0.25">
      <c r="E9" s="5"/>
    </row>
    <row r="10" spans="4:7" x14ac:dyDescent="0.25">
      <c r="E10" s="5">
        <f>+SUM(E5:E8)</f>
        <v>112854895</v>
      </c>
      <c r="G10" s="2">
        <f>+SUM(G5:G8)</f>
        <v>23315379.700000003</v>
      </c>
    </row>
    <row r="11" spans="4:7" x14ac:dyDescent="0.25">
      <c r="E11" s="5"/>
    </row>
    <row r="12" spans="4:7" x14ac:dyDescent="0.25">
      <c r="E12" s="5"/>
      <c r="F12" t="s">
        <v>14</v>
      </c>
      <c r="G12" s="2">
        <v>109692</v>
      </c>
    </row>
    <row r="13" spans="4:7" x14ac:dyDescent="0.25">
      <c r="E13" s="5"/>
      <c r="F13" t="s">
        <v>15</v>
      </c>
      <c r="G13" s="2">
        <v>350364</v>
      </c>
    </row>
    <row r="14" spans="4:7" x14ac:dyDescent="0.25">
      <c r="E14" s="5"/>
      <c r="F14" t="s">
        <v>17</v>
      </c>
      <c r="G14" s="2">
        <f>+SUM(G10:G13)</f>
        <v>23775435.700000003</v>
      </c>
    </row>
    <row r="16" spans="4:7" x14ac:dyDescent="0.25">
      <c r="D16" t="s">
        <v>16</v>
      </c>
      <c r="F16" s="1">
        <v>0.8</v>
      </c>
      <c r="G16" s="2">
        <f>+F16*$G$14</f>
        <v>19020348.560000002</v>
      </c>
    </row>
    <row r="17" spans="4:7" x14ac:dyDescent="0.25">
      <c r="D17" t="s">
        <v>18</v>
      </c>
      <c r="F17" s="1">
        <v>0.05</v>
      </c>
      <c r="G17" s="2">
        <f t="shared" ref="G17:G19" si="1">+F17*$G$14</f>
        <v>1188771.7850000001</v>
      </c>
    </row>
    <row r="18" spans="4:7" x14ac:dyDescent="0.25">
      <c r="D18" t="s">
        <v>19</v>
      </c>
      <c r="F18" s="1">
        <v>0.05</v>
      </c>
      <c r="G18" s="2">
        <f t="shared" si="1"/>
        <v>1188771.7850000001</v>
      </c>
    </row>
    <row r="19" spans="4:7" x14ac:dyDescent="0.25">
      <c r="D19" t="s">
        <v>20</v>
      </c>
      <c r="F19" s="1">
        <v>0.1</v>
      </c>
      <c r="G19" s="2">
        <f t="shared" si="1"/>
        <v>2377543.5700000003</v>
      </c>
    </row>
    <row r="21" spans="4:7" x14ac:dyDescent="0.25">
      <c r="E21" t="s">
        <v>21</v>
      </c>
      <c r="G21" s="2">
        <f>+SUM(G16:G19)</f>
        <v>23775435.700000003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903AC-0103-4F16-9995-B8C83421BD06}">
  <dimension ref="A1"/>
  <sheetViews>
    <sheetView topLeftCell="A4" workbookViewId="0">
      <selection activeCell="D20" sqref="D20"/>
    </sheetView>
  </sheetViews>
  <sheetFormatPr defaultRowHeight="14.3" x14ac:dyDescent="0.25"/>
  <sheetData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5F6D0-3A32-4500-A021-981FABFBFC32}">
  <dimension ref="B2:B29"/>
  <sheetViews>
    <sheetView workbookViewId="0">
      <selection sqref="A1:H31"/>
    </sheetView>
  </sheetViews>
  <sheetFormatPr defaultRowHeight="14.3" x14ac:dyDescent="0.25"/>
  <cols>
    <col min="1" max="1" width="17.25" customWidth="1"/>
    <col min="2" max="2" width="21.375" customWidth="1"/>
  </cols>
  <sheetData>
    <row r="2" spans="2:2" x14ac:dyDescent="0.25">
      <c r="B2" s="2"/>
    </row>
    <row r="3" spans="2:2" x14ac:dyDescent="0.25">
      <c r="B3" s="1"/>
    </row>
    <row r="4" spans="2:2" x14ac:dyDescent="0.25">
      <c r="B4" s="2"/>
    </row>
    <row r="5" spans="2:2" x14ac:dyDescent="0.25">
      <c r="B5" s="1"/>
    </row>
    <row r="6" spans="2:2" x14ac:dyDescent="0.25">
      <c r="B6" s="3"/>
    </row>
    <row r="15" spans="2:2" x14ac:dyDescent="0.25">
      <c r="B15" s="4"/>
    </row>
    <row r="21" spans="2:2" x14ac:dyDescent="0.25">
      <c r="B21" s="4"/>
    </row>
    <row r="26" spans="2:2" x14ac:dyDescent="0.25">
      <c r="B26" s="4"/>
    </row>
    <row r="27" spans="2:2" x14ac:dyDescent="0.25">
      <c r="B27" s="4"/>
    </row>
    <row r="28" spans="2:2" x14ac:dyDescent="0.25">
      <c r="B28" s="4"/>
    </row>
    <row r="29" spans="2:2" x14ac:dyDescent="0.25">
      <c r="B29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3A5B-7F98-49ED-87F8-2394E995BBFC}">
  <dimension ref="A1"/>
  <sheetViews>
    <sheetView zoomScale="80" zoomScaleNormal="80" workbookViewId="0">
      <selection activeCell="S32" sqref="S32"/>
    </sheetView>
  </sheetViews>
  <sheetFormatPr defaultRowHeight="14.3" x14ac:dyDescent="0.25"/>
  <sheetData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0FF9-B516-400E-8762-A08232952F10}">
  <dimension ref="D5:G7"/>
  <sheetViews>
    <sheetView workbookViewId="0">
      <selection activeCell="D5" sqref="D5:G7"/>
    </sheetView>
  </sheetViews>
  <sheetFormatPr defaultRowHeight="14.3" x14ac:dyDescent="0.25"/>
  <sheetData>
    <row r="5" spans="4:7" x14ac:dyDescent="0.25">
      <c r="D5" t="s">
        <v>2</v>
      </c>
      <c r="E5" t="s">
        <v>3</v>
      </c>
      <c r="F5" t="s">
        <v>4</v>
      </c>
      <c r="G5" t="s">
        <v>5</v>
      </c>
    </row>
    <row r="6" spans="4:7" x14ac:dyDescent="0.25">
      <c r="D6" t="s">
        <v>0</v>
      </c>
      <c r="E6" t="s">
        <v>6</v>
      </c>
      <c r="F6" t="s">
        <v>6</v>
      </c>
      <c r="G6" t="s">
        <v>6</v>
      </c>
    </row>
    <row r="7" spans="4:7" x14ac:dyDescent="0.25">
      <c r="D7" t="s">
        <v>1</v>
      </c>
      <c r="E7" t="s">
        <v>7</v>
      </c>
      <c r="F7" t="s">
        <v>7</v>
      </c>
      <c r="G7" t="s">
        <v>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tax_calc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Boyd</dc:creator>
  <cp:lastModifiedBy>Don Boyd</cp:lastModifiedBy>
  <cp:lastPrinted>2025-11-09T09:58:30Z</cp:lastPrinted>
  <dcterms:created xsi:type="dcterms:W3CDTF">2025-11-06T10:56:11Z</dcterms:created>
  <dcterms:modified xsi:type="dcterms:W3CDTF">2025-11-09T12:50:59Z</dcterms:modified>
</cp:coreProperties>
</file>