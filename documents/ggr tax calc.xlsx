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_projects\mta\mta_casinos\documents\"/>
    </mc:Choice>
  </mc:AlternateContent>
  <xr:revisionPtr revIDLastSave="0" documentId="13_ncr:1_{CF92C082-B33E-44C8-BCDB-61F1302BBB71}" xr6:coauthVersionLast="47" xr6:coauthVersionMax="47" xr10:uidLastSave="{00000000-0000-0000-0000-000000000000}"/>
  <bookViews>
    <workbookView xWindow="-109" yWindow="-109" windowWidth="46950" windowHeight="19060" xr2:uid="{60F08B9F-99E0-43BF-9FF8-14BC6D9259EB}"/>
  </bookViews>
  <sheets>
    <sheet name="tax" sheetId="7" r:id="rId1"/>
    <sheet name="Sheet1" sheetId="1" r:id="rId2"/>
    <sheet name="Sheet2" sheetId="2" r:id="rId3"/>
    <sheet name="Sheet3" sheetId="3" r:id="rId4"/>
    <sheet name="Sheet4" sheetId="4" r:id="rId5"/>
    <sheet name="Sheet5" sheetId="5" r:id="rId6"/>
    <sheet name="Sheet6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7" l="1"/>
  <c r="G19" i="7"/>
  <c r="G18" i="7"/>
  <c r="G17" i="7"/>
  <c r="G16" i="7"/>
  <c r="G14" i="7"/>
  <c r="E10" i="7"/>
  <c r="G8" i="7"/>
  <c r="G7" i="7"/>
  <c r="G6" i="7"/>
  <c r="G5" i="7"/>
  <c r="B31" i="3"/>
  <c r="B28" i="3"/>
  <c r="B29" i="3" s="1"/>
  <c r="B27" i="3"/>
  <c r="B26" i="3"/>
  <c r="B21" i="3"/>
  <c r="B20" i="3"/>
  <c r="B19" i="3"/>
  <c r="B15" i="3"/>
  <c r="B14" i="3"/>
  <c r="B13" i="3"/>
  <c r="B11" i="3"/>
  <c r="B10" i="3"/>
  <c r="B6" i="3"/>
  <c r="B4" i="3"/>
  <c r="G10" i="7" l="1"/>
</calcChain>
</file>

<file path=xl/sharedStrings.xml><?xml version="1.0" encoding="utf-8"?>
<sst xmlns="http://schemas.openxmlformats.org/spreadsheetml/2006/main" count="65" uniqueCount="59">
  <si>
    <t>age&gt;=65</t>
  </si>
  <si>
    <t>causes higher property tax!!</t>
  </si>
  <si>
    <t>loan</t>
  </si>
  <si>
    <t>hv</t>
  </si>
  <si>
    <t>down</t>
  </si>
  <si>
    <t>annual intrate</t>
  </si>
  <si>
    <t>years</t>
  </si>
  <si>
    <t>so far</t>
  </si>
  <si>
    <t>n</t>
  </si>
  <si>
    <t>k</t>
  </si>
  <si>
    <t>monthly per dollar</t>
  </si>
  <si>
    <t>monthly r</t>
  </si>
  <si>
    <t>(1+r)^n</t>
  </si>
  <si>
    <t>monthly amount M</t>
  </si>
  <si>
    <t>remaining balance after 10 years B</t>
  </si>
  <si>
    <t>(1+r)^k</t>
  </si>
  <si>
    <t xml:space="preserve">balance per dollar </t>
  </si>
  <si>
    <t>balance B</t>
  </si>
  <si>
    <t>int in year 10</t>
  </si>
  <si>
    <t>P*(1+r)^k</t>
  </si>
  <si>
    <t>((1+r)^k-1)/r</t>
  </si>
  <si>
    <t>M*above</t>
  </si>
  <si>
    <t>B</t>
  </si>
  <si>
    <t>approx int full year</t>
  </si>
  <si>
    <t>row1</t>
  </si>
  <si>
    <t>row2</t>
  </si>
  <si>
    <t>header1</t>
  </si>
  <si>
    <t>col1</t>
  </si>
  <si>
    <t>col2</t>
  </si>
  <si>
    <t>col3</t>
  </si>
  <si>
    <t>text</t>
  </si>
  <si>
    <t>lots more text</t>
  </si>
  <si>
    <t>Remaining Casino Proposals Before the Gaming Facilities Location Board</t>
  </si>
  <si>
    <t>Applicant</t>
  </si>
  <si>
    <t>Location</t>
  </si>
  <si>
    <t>Proposed one-time license</t>
  </si>
  <si>
    <t>Proposed tax rates</t>
  </si>
  <si>
    <t>Other</t>
  </si>
  <si>
    <t>Resorts World (Genting)</t>
  </si>
  <si>
    <t>Queens</t>
  </si>
  <si>
    <t>$600m</t>
  </si>
  <si>
    <t>56% slots, 30% tables / other</t>
  </si>
  <si>
    <t>Metropolitan Park</t>
  </si>
  <si>
    <t>$500m</t>
  </si>
  <si>
    <t>Bally's Bronx Bronx</t>
  </si>
  <si>
    <t>slots</t>
  </si>
  <si>
    <t>table</t>
  </si>
  <si>
    <t>sports</t>
  </si>
  <si>
    <t>ggr</t>
  </si>
  <si>
    <t>poker</t>
  </si>
  <si>
    <t>tax</t>
  </si>
  <si>
    <t>ucf</t>
  </si>
  <si>
    <t>ppa</t>
  </si>
  <si>
    <t>Educ/Prop tax relief</t>
  </si>
  <si>
    <t>sum</t>
  </si>
  <si>
    <t>Host muni</t>
  </si>
  <si>
    <t>Host county</t>
  </si>
  <si>
    <t>Rest of region per capita</t>
  </si>
  <si>
    <t>checksum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</si>
</sst>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6" formatCode="_(* #,##0_);_(* \(#,##0\);_(* &quot;-&quot;??_);_(@_)"/>
    <numFmt numFmtId="169" formatCode="0.0000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2" applyNumberFormat="1" applyFont="1"/>
    <xf numFmtId="166" fontId="0" fillId="0" borderId="0" xfId="1" applyNumberFormat="1" applyFont="1"/>
    <xf numFmtId="169" fontId="0" fillId="0" borderId="0" xfId="2" applyNumberFormat="1" applyFont="1"/>
    <xf numFmtId="43" fontId="0" fillId="0" borderId="0" xfId="0" applyNumberFormat="1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3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17253</xdr:colOff>
      <xdr:row>1</xdr:row>
      <xdr:rowOff>17253</xdr:rowOff>
    </xdr:from>
    <xdr:to>
      <xdr:col>29</xdr:col>
      <xdr:colOff>431321</xdr:colOff>
      <xdr:row>47</xdr:row>
      <xdr:rowOff>56783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BFADC1-726C-82B7-0C69-8181494A8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85472" y="198408"/>
          <a:ext cx="12215004" cy="83726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208029</xdr:colOff>
      <xdr:row>24</xdr:row>
      <xdr:rowOff>90786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D9FCE8-4494-ECBA-608A-3D06622CC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102" y="362309"/>
          <a:ext cx="6419048" cy="407619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22</xdr:col>
      <xdr:colOff>208029</xdr:colOff>
      <xdr:row>24</xdr:row>
      <xdr:rowOff>138405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3755D1-FA3A-FEF9-39A1-F5297A808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53223" y="362309"/>
          <a:ext cx="6419048" cy="41238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21</xdr:col>
      <xdr:colOff>501771</xdr:colOff>
      <xdr:row>17</xdr:row>
      <xdr:rowOff>72954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6C1932-88EE-5050-88D6-D37F5436F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102" y="181155"/>
          <a:ext cx="12923809" cy="2971429"/>
        </a:xfrm>
        <a:prstGeom prst="rect">
          <a:avLst/>
        </a:prstGeom>
      </xdr:spPr>
    </xdr:pic>
    <xdr:clientData/>
  </xdr:twoCellAnchor>
  <xdr:twoCellAnchor editAs="oneCell">
    <xdr:from>
      <xdr:col>4</xdr:col>
      <xdr:colOff>517585</xdr:colOff>
      <xdr:row>18</xdr:row>
      <xdr:rowOff>8626</xdr:rowOff>
    </xdr:from>
    <xdr:to>
      <xdr:col>21</xdr:col>
      <xdr:colOff>368377</xdr:colOff>
      <xdr:row>34</xdr:row>
      <xdr:rowOff>62532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253A74-97BB-4FB3-F1AA-1F379CD2E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01993" y="3269411"/>
          <a:ext cx="10409524" cy="29523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552092</xdr:colOff>
      <xdr:row>8</xdr:row>
      <xdr:rowOff>103516</xdr:rowOff>
    </xdr:from>
    <xdr:to>
      <xdr:col>29</xdr:col>
      <xdr:colOff>378024</xdr:colOff>
      <xdr:row>51</xdr:row>
      <xdr:rowOff>120118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825B5E-9565-B287-0062-2F4E6ABF1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12084" y="1552754"/>
          <a:ext cx="9142460" cy="7806255"/>
        </a:xfrm>
        <a:prstGeom prst="rect">
          <a:avLst/>
        </a:prstGeom>
      </xdr:spPr>
    </xdr:pic>
    <xdr:clientData/>
  </xdr:twoCellAnchor>
  <xdr:twoCellAnchor editAs="oneCell">
    <xdr:from>
      <xdr:col>6</xdr:col>
      <xdr:colOff>207034</xdr:colOff>
      <xdr:row>0</xdr:row>
      <xdr:rowOff>0</xdr:rowOff>
    </xdr:from>
    <xdr:to>
      <xdr:col>18</xdr:col>
      <xdr:colOff>410955</xdr:colOff>
      <xdr:row>6</xdr:row>
      <xdr:rowOff>151167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7FA32D-E2FF-0026-E745-8B2CD6F4E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94362" y="0"/>
          <a:ext cx="7657143" cy="123809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7</xdr:col>
      <xdr:colOff>87021</xdr:colOff>
      <xdr:row>15</xdr:row>
      <xdr:rowOff>170822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1CD26B-EF3C-2936-196C-C366EB5AB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27872" y="2173857"/>
          <a:ext cx="2571429" cy="71428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8</xdr:col>
      <xdr:colOff>75442</xdr:colOff>
      <xdr:row>23</xdr:row>
      <xdr:rowOff>37084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EAA772-C4DD-BD74-9F22-08D918564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86664" y="3260785"/>
          <a:ext cx="3180952" cy="942857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25</xdr:row>
      <xdr:rowOff>0</xdr:rowOff>
    </xdr:from>
    <xdr:to>
      <xdr:col>8</xdr:col>
      <xdr:colOff>500333</xdr:colOff>
      <xdr:row>29</xdr:row>
      <xdr:rowOff>80118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59BBBE4-E20E-52EA-29DD-5E5CA9300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86665" y="4528868"/>
          <a:ext cx="3605842" cy="8047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7</xdr:col>
      <xdr:colOff>422694</xdr:colOff>
      <xdr:row>26</xdr:row>
      <xdr:rowOff>163902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BBD52BEF-0D87-918F-EE29-8E2362131D01}"/>
            </a:ext>
          </a:extLst>
        </xdr:cNvPr>
        <xdr:cNvSpPr>
          <a:spLocks noChangeAspect="1" noChangeArrowheads="1"/>
        </xdr:cNvSpPr>
      </xdr:nvSpPr>
      <xdr:spPr bwMode="auto">
        <a:xfrm>
          <a:off x="621102" y="724619"/>
          <a:ext cx="4149306" cy="41493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7</xdr:col>
      <xdr:colOff>276045</xdr:colOff>
      <xdr:row>26</xdr:row>
      <xdr:rowOff>17253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2004984B-DADD-4DF8-FF82-A6546EEC94CB}"/>
            </a:ext>
          </a:extLst>
        </xdr:cNvPr>
        <xdr:cNvSpPr>
          <a:spLocks noChangeAspect="1" noChangeArrowheads="1"/>
        </xdr:cNvSpPr>
      </xdr:nvSpPr>
      <xdr:spPr bwMode="auto">
        <a:xfrm>
          <a:off x="621102" y="724619"/>
          <a:ext cx="4002656" cy="4002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8</xdr:col>
      <xdr:colOff>509430</xdr:colOff>
      <xdr:row>55</xdr:row>
      <xdr:rowOff>18253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C9CDAF-FFE8-5E2A-CB0F-A24A10049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102" y="724619"/>
          <a:ext cx="4857143" cy="9257143"/>
        </a:xfrm>
        <a:prstGeom prst="rect">
          <a:avLst/>
        </a:prstGeom>
      </xdr:spPr>
    </xdr:pic>
    <xdr:clientData/>
  </xdr:twoCellAnchor>
  <xdr:twoCellAnchor editAs="oneCell">
    <xdr:from>
      <xdr:col>8</xdr:col>
      <xdr:colOff>552091</xdr:colOff>
      <xdr:row>3</xdr:row>
      <xdr:rowOff>163902</xdr:rowOff>
    </xdr:from>
    <xdr:to>
      <xdr:col>16</xdr:col>
      <xdr:colOff>488038</xdr:colOff>
      <xdr:row>48</xdr:row>
      <xdr:rowOff>173845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D05B14-1BD0-FEF3-CC6D-66F99262E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0906" y="707366"/>
          <a:ext cx="4904762" cy="81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0D67D-A79B-4048-A2E8-8AECC622CE43}">
  <dimension ref="D3:G21"/>
  <sheetViews>
    <sheetView tabSelected="1" topLeftCell="A7" workbookViewId="0">
      <selection activeCell="F36" sqref="F36"/>
    </sheetView>
  </sheetViews>
  <sheetFormatPr defaultRowHeight="14.3" x14ac:dyDescent="0.25"/>
  <cols>
    <col min="5" max="5" width="12.5" customWidth="1"/>
    <col min="7" max="7" width="13.75" style="2" bestFit="1" customWidth="1"/>
  </cols>
  <sheetData>
    <row r="3" spans="4:7" x14ac:dyDescent="0.25">
      <c r="E3" t="s">
        <v>48</v>
      </c>
      <c r="G3" s="2" t="s">
        <v>50</v>
      </c>
    </row>
    <row r="4" spans="4:7" x14ac:dyDescent="0.25">
      <c r="E4" s="11"/>
    </row>
    <row r="5" spans="4:7" x14ac:dyDescent="0.25">
      <c r="D5" t="s">
        <v>45</v>
      </c>
      <c r="E5" s="11">
        <v>60149451</v>
      </c>
      <c r="F5" s="1">
        <v>0.3</v>
      </c>
      <c r="G5" s="2">
        <f>+E5*F5</f>
        <v>18044835.300000001</v>
      </c>
    </row>
    <row r="6" spans="4:7" x14ac:dyDescent="0.25">
      <c r="D6" t="s">
        <v>46</v>
      </c>
      <c r="E6" s="11">
        <v>50409686</v>
      </c>
      <c r="F6" s="1">
        <v>0.1</v>
      </c>
      <c r="G6" s="2">
        <f t="shared" ref="G6:G8" si="0">+E6*F6</f>
        <v>5040968.6000000006</v>
      </c>
    </row>
    <row r="7" spans="4:7" x14ac:dyDescent="0.25">
      <c r="D7" t="s">
        <v>49</v>
      </c>
      <c r="E7" s="11">
        <v>2335693</v>
      </c>
      <c r="F7" s="1">
        <v>0.1</v>
      </c>
      <c r="G7" s="2">
        <f t="shared" si="0"/>
        <v>233569.30000000002</v>
      </c>
    </row>
    <row r="8" spans="4:7" x14ac:dyDescent="0.25">
      <c r="D8" t="s">
        <v>47</v>
      </c>
      <c r="E8" s="11">
        <v>-39935</v>
      </c>
      <c r="F8" s="1">
        <v>0.1</v>
      </c>
      <c r="G8" s="2">
        <f t="shared" si="0"/>
        <v>-3993.5</v>
      </c>
    </row>
    <row r="9" spans="4:7" x14ac:dyDescent="0.25">
      <c r="E9" s="11"/>
    </row>
    <row r="10" spans="4:7" x14ac:dyDescent="0.25">
      <c r="E10" s="11">
        <f>+SUM(E5:E8)</f>
        <v>112854895</v>
      </c>
      <c r="G10" s="2">
        <f>+SUM(G5:G8)</f>
        <v>23315379.700000003</v>
      </c>
    </row>
    <row r="11" spans="4:7" x14ac:dyDescent="0.25">
      <c r="E11" s="11"/>
    </row>
    <row r="12" spans="4:7" x14ac:dyDescent="0.25">
      <c r="E12" s="11"/>
      <c r="F12" t="s">
        <v>51</v>
      </c>
      <c r="G12" s="2">
        <v>109692</v>
      </c>
    </row>
    <row r="13" spans="4:7" x14ac:dyDescent="0.25">
      <c r="E13" s="11"/>
      <c r="F13" t="s">
        <v>52</v>
      </c>
      <c r="G13" s="2">
        <v>350364</v>
      </c>
    </row>
    <row r="14" spans="4:7" x14ac:dyDescent="0.25">
      <c r="E14" s="11"/>
      <c r="F14" t="s">
        <v>54</v>
      </c>
      <c r="G14" s="2">
        <f>+SUM(G10:G13)</f>
        <v>23775435.700000003</v>
      </c>
    </row>
    <row r="16" spans="4:7" x14ac:dyDescent="0.25">
      <c r="D16" t="s">
        <v>53</v>
      </c>
      <c r="F16" s="1">
        <v>0.8</v>
      </c>
      <c r="G16" s="2">
        <f>+F16*$G$14</f>
        <v>19020348.560000002</v>
      </c>
    </row>
    <row r="17" spans="4:7" x14ac:dyDescent="0.25">
      <c r="D17" t="s">
        <v>55</v>
      </c>
      <c r="F17" s="1">
        <v>0.05</v>
      </c>
      <c r="G17" s="2">
        <f t="shared" ref="G17:G19" si="1">+F17*$G$14</f>
        <v>1188771.7850000001</v>
      </c>
    </row>
    <row r="18" spans="4:7" x14ac:dyDescent="0.25">
      <c r="D18" t="s">
        <v>56</v>
      </c>
      <c r="F18" s="1">
        <v>0.05</v>
      </c>
      <c r="G18" s="2">
        <f t="shared" si="1"/>
        <v>1188771.7850000001</v>
      </c>
    </row>
    <row r="19" spans="4:7" x14ac:dyDescent="0.25">
      <c r="D19" t="s">
        <v>57</v>
      </c>
      <c r="F19" s="1">
        <v>0.1</v>
      </c>
      <c r="G19" s="2">
        <f t="shared" si="1"/>
        <v>2377543.5700000003</v>
      </c>
    </row>
    <row r="21" spans="4:7" x14ac:dyDescent="0.25">
      <c r="E21" t="s">
        <v>58</v>
      </c>
      <c r="G21" s="2">
        <f>+SUM(G16:G19)</f>
        <v>23775435.700000003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B4E5C-6B28-4E11-AE9E-0B4F15BDCC4E}">
  <dimension ref="M1:O1"/>
  <sheetViews>
    <sheetView workbookViewId="0">
      <selection activeCell="O2" sqref="O2"/>
    </sheetView>
  </sheetViews>
  <sheetFormatPr defaultRowHeight="14.3" x14ac:dyDescent="0.25"/>
  <sheetData>
    <row r="1" spans="13:15" x14ac:dyDescent="0.25">
      <c r="M1" t="s">
        <v>0</v>
      </c>
      <c r="O1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903AC-0103-4F16-9995-B8C83421BD06}">
  <dimension ref="A1"/>
  <sheetViews>
    <sheetView topLeftCell="A4" workbookViewId="0">
      <selection activeCell="D20" sqref="D20"/>
    </sheetView>
  </sheetViews>
  <sheetFormatPr defaultRowHeight="14.3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5F6D0-3A32-4500-A021-981FABFBFC32}">
  <dimension ref="A2:B31"/>
  <sheetViews>
    <sheetView workbookViewId="0">
      <selection activeCell="B31" sqref="B31"/>
    </sheetView>
  </sheetViews>
  <sheetFormatPr defaultRowHeight="14.3" x14ac:dyDescent="0.25"/>
  <cols>
    <col min="1" max="1" width="17.25" customWidth="1"/>
    <col min="2" max="2" width="21.375" customWidth="1"/>
  </cols>
  <sheetData>
    <row r="2" spans="1:2" x14ac:dyDescent="0.25">
      <c r="A2" t="s">
        <v>3</v>
      </c>
      <c r="B2" s="2">
        <v>1049444</v>
      </c>
    </row>
    <row r="3" spans="1:2" x14ac:dyDescent="0.25">
      <c r="A3" t="s">
        <v>4</v>
      </c>
      <c r="B3" s="1">
        <v>0.15</v>
      </c>
    </row>
    <row r="4" spans="1:2" x14ac:dyDescent="0.25">
      <c r="A4" t="s">
        <v>2</v>
      </c>
      <c r="B4" s="2">
        <f>+B2*(1-B3)</f>
        <v>892027.4</v>
      </c>
    </row>
    <row r="5" spans="1:2" x14ac:dyDescent="0.25">
      <c r="A5" t="s">
        <v>5</v>
      </c>
      <c r="B5" s="1">
        <v>6.2E-2</v>
      </c>
    </row>
    <row r="6" spans="1:2" x14ac:dyDescent="0.25">
      <c r="A6" t="s">
        <v>11</v>
      </c>
      <c r="B6" s="3">
        <f>+B5/12</f>
        <v>5.1666666666666666E-3</v>
      </c>
    </row>
    <row r="7" spans="1:2" x14ac:dyDescent="0.25">
      <c r="A7" t="s">
        <v>6</v>
      </c>
      <c r="B7">
        <v>30</v>
      </c>
    </row>
    <row r="8" spans="1:2" x14ac:dyDescent="0.25">
      <c r="A8" t="s">
        <v>7</v>
      </c>
      <c r="B8">
        <v>10</v>
      </c>
    </row>
    <row r="10" spans="1:2" x14ac:dyDescent="0.25">
      <c r="A10" t="s">
        <v>8</v>
      </c>
      <c r="B10">
        <f>12*B7</f>
        <v>360</v>
      </c>
    </row>
    <row r="11" spans="1:2" x14ac:dyDescent="0.25">
      <c r="A11" t="s">
        <v>9</v>
      </c>
      <c r="B11">
        <f>12*B8</f>
        <v>120</v>
      </c>
    </row>
    <row r="13" spans="1:2" x14ac:dyDescent="0.25">
      <c r="A13" t="s">
        <v>12</v>
      </c>
      <c r="B13">
        <f>+(1+$B$6)^$B$10</f>
        <v>6.3930501526523251</v>
      </c>
    </row>
    <row r="14" spans="1:2" x14ac:dyDescent="0.25">
      <c r="A14" t="s">
        <v>10</v>
      </c>
      <c r="B14">
        <f>+$B$6*$B$13/($B$13-1)</f>
        <v>6.1246897742629636E-3</v>
      </c>
    </row>
    <row r="15" spans="1:2" x14ac:dyDescent="0.25">
      <c r="A15" t="s">
        <v>13</v>
      </c>
      <c r="B15" s="4">
        <f>+B14*B4</f>
        <v>5463.3910951423786</v>
      </c>
    </row>
    <row r="17" spans="1:2" x14ac:dyDescent="0.25">
      <c r="A17" t="s">
        <v>14</v>
      </c>
    </row>
    <row r="19" spans="1:2" x14ac:dyDescent="0.25">
      <c r="A19" t="s">
        <v>15</v>
      </c>
      <c r="B19">
        <f>+(1+$B$6)^$B$11</f>
        <v>1.8559632414142357</v>
      </c>
    </row>
    <row r="20" spans="1:2" x14ac:dyDescent="0.25">
      <c r="A20" t="s">
        <v>16</v>
      </c>
      <c r="B20">
        <f>+(B13-B19)/(B13-1)</f>
        <v>0.84128401976880018</v>
      </c>
    </row>
    <row r="21" spans="1:2" x14ac:dyDescent="0.25">
      <c r="A21" t="s">
        <v>17</v>
      </c>
      <c r="B21" s="4">
        <f>+B20*B4</f>
        <v>750448.3968159114</v>
      </c>
    </row>
    <row r="23" spans="1:2" x14ac:dyDescent="0.25">
      <c r="A23" t="s">
        <v>18</v>
      </c>
    </row>
    <row r="26" spans="1:2" x14ac:dyDescent="0.25">
      <c r="A26" t="s">
        <v>19</v>
      </c>
      <c r="B26" s="4">
        <f>+B4*B19</f>
        <v>1655570.0647343132</v>
      </c>
    </row>
    <row r="27" spans="1:2" x14ac:dyDescent="0.25">
      <c r="A27" t="s">
        <v>20</v>
      </c>
      <c r="B27" s="4">
        <f>+(B19-1)/B6</f>
        <v>165.67030478985208</v>
      </c>
    </row>
    <row r="28" spans="1:2" x14ac:dyDescent="0.25">
      <c r="A28" t="s">
        <v>21</v>
      </c>
      <c r="B28" s="4">
        <f>+B15*B27</f>
        <v>905121.66791840165</v>
      </c>
    </row>
    <row r="29" spans="1:2" x14ac:dyDescent="0.25">
      <c r="A29" t="s">
        <v>22</v>
      </c>
      <c r="B29" s="4">
        <f>+B26-B28</f>
        <v>750448.39681591152</v>
      </c>
    </row>
    <row r="31" spans="1:2" x14ac:dyDescent="0.25">
      <c r="A31" t="s">
        <v>23</v>
      </c>
      <c r="B31">
        <f>+B29*B5</f>
        <v>46527.800602586511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03A5B-7F98-49ED-87F8-2394E995BBFC}">
  <dimension ref="A1"/>
  <sheetViews>
    <sheetView zoomScale="80" zoomScaleNormal="80" workbookViewId="0">
      <selection activeCell="S32" sqref="S32"/>
    </sheetView>
  </sheetViews>
  <sheetFormatPr defaultRowHeight="14.3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30FF9-B516-400E-8762-A08232952F10}">
  <dimension ref="D5:G7"/>
  <sheetViews>
    <sheetView workbookViewId="0">
      <selection activeCell="D5" sqref="D5:G7"/>
    </sheetView>
  </sheetViews>
  <sheetFormatPr defaultRowHeight="14.3" x14ac:dyDescent="0.25"/>
  <sheetData>
    <row r="5" spans="4:7" x14ac:dyDescent="0.25">
      <c r="D5" t="s">
        <v>26</v>
      </c>
      <c r="E5" t="s">
        <v>27</v>
      </c>
      <c r="F5" t="s">
        <v>28</v>
      </c>
      <c r="G5" t="s">
        <v>29</v>
      </c>
    </row>
    <row r="6" spans="4:7" x14ac:dyDescent="0.25">
      <c r="D6" t="s">
        <v>24</v>
      </c>
      <c r="E6" t="s">
        <v>30</v>
      </c>
      <c r="F6" t="s">
        <v>30</v>
      </c>
      <c r="G6" t="s">
        <v>30</v>
      </c>
    </row>
    <row r="7" spans="4:7" x14ac:dyDescent="0.25">
      <c r="D7" t="s">
        <v>25</v>
      </c>
      <c r="E7" t="s">
        <v>31</v>
      </c>
      <c r="F7" t="s">
        <v>31</v>
      </c>
      <c r="G7" t="s">
        <v>31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875EF-88B3-4FF0-858E-A5A7AC40B5D9}">
  <dimension ref="C3:G9"/>
  <sheetViews>
    <sheetView workbookViewId="0">
      <selection activeCell="C4" sqref="C4:G9"/>
    </sheetView>
  </sheetViews>
  <sheetFormatPr defaultRowHeight="14.3" x14ac:dyDescent="0.25"/>
  <cols>
    <col min="3" max="3" width="24.25" customWidth="1"/>
    <col min="4" max="7" width="15.625" customWidth="1"/>
  </cols>
  <sheetData>
    <row r="3" spans="3:7" ht="14.95" thickBot="1" x14ac:dyDescent="0.3"/>
    <row r="4" spans="3:7" ht="14.95" thickBot="1" x14ac:dyDescent="0.3">
      <c r="C4" s="7" t="s">
        <v>32</v>
      </c>
      <c r="D4" s="8"/>
      <c r="E4" s="8"/>
      <c r="F4" s="8"/>
      <c r="G4" s="9"/>
    </row>
    <row r="5" spans="3:7" ht="14.95" thickBot="1" x14ac:dyDescent="0.3">
      <c r="C5" s="5"/>
      <c r="D5" s="5"/>
      <c r="E5" s="5"/>
      <c r="F5" s="5"/>
      <c r="G5" s="5"/>
    </row>
    <row r="6" spans="3:7" ht="27.85" thickBot="1" x14ac:dyDescent="0.3">
      <c r="C6" s="6" t="s">
        <v>33</v>
      </c>
      <c r="D6" s="6" t="s">
        <v>34</v>
      </c>
      <c r="E6" s="6" t="s">
        <v>35</v>
      </c>
      <c r="F6" s="6" t="s">
        <v>36</v>
      </c>
      <c r="G6" s="6" t="s">
        <v>37</v>
      </c>
    </row>
    <row r="7" spans="3:7" ht="40.75" customHeight="1" thickBot="1" x14ac:dyDescent="0.3">
      <c r="C7" s="10" t="s">
        <v>38</v>
      </c>
      <c r="D7" s="10" t="s">
        <v>39</v>
      </c>
      <c r="E7" s="10" t="s">
        <v>40</v>
      </c>
      <c r="F7" s="10" t="s">
        <v>41</v>
      </c>
      <c r="G7" s="10"/>
    </row>
    <row r="8" spans="3:7" ht="14.95" thickBot="1" x14ac:dyDescent="0.3">
      <c r="C8" s="10" t="s">
        <v>42</v>
      </c>
      <c r="D8" s="10" t="s">
        <v>39</v>
      </c>
      <c r="E8" s="10" t="s">
        <v>43</v>
      </c>
      <c r="F8" s="10"/>
      <c r="G8" s="10"/>
    </row>
    <row r="9" spans="3:7" ht="14.95" thickBot="1" x14ac:dyDescent="0.3">
      <c r="C9" s="10" t="s">
        <v>44</v>
      </c>
      <c r="D9" s="10"/>
      <c r="E9" s="10" t="s">
        <v>43</v>
      </c>
      <c r="F9" s="10"/>
      <c r="G9" s="10"/>
    </row>
  </sheetData>
  <mergeCells count="1">
    <mergeCell ref="C4:G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tax</vt:lpstr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Boyd</dc:creator>
  <cp:lastModifiedBy>Don Boyd</cp:lastModifiedBy>
  <cp:lastPrinted>2025-11-07T19:34:17Z</cp:lastPrinted>
  <dcterms:created xsi:type="dcterms:W3CDTF">2025-11-06T10:56:11Z</dcterms:created>
  <dcterms:modified xsi:type="dcterms:W3CDTF">2025-11-07T21:14:58Z</dcterms:modified>
</cp:coreProperties>
</file>